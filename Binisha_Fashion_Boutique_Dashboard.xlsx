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ta" sheetId="2" r:id="rId5"/>
  </sheets>
  <definedNames/>
  <calcPr/>
</workbook>
</file>

<file path=xl/sharedStrings.xml><?xml version="1.0" encoding="utf-8"?>
<sst xmlns="http://schemas.openxmlformats.org/spreadsheetml/2006/main" count="24" uniqueCount="21">
  <si>
    <t>Binisha Fashion Boutique - Organic Marketing Dashboard</t>
  </si>
  <si>
    <t>Performance metrics tracking zero-ad spend migration &amp; margin expansion</t>
  </si>
  <si>
    <t>TOTAL MARKETING SAVINGS</t>
  </si>
  <si>
    <t>PEAK OPERATING MARGIN</t>
  </si>
  <si>
    <t>TOTAL LEADS GENERATED</t>
  </si>
  <si>
    <t>Month_Year</t>
  </si>
  <si>
    <t>Marketing_Channel</t>
  </si>
  <si>
    <t>Marketing_Spend_INR</t>
  </si>
  <si>
    <t>Photography_Cost_INR</t>
  </si>
  <si>
    <t>Total_Cost_INR</t>
  </si>
  <si>
    <t>Leads_Generated</t>
  </si>
  <si>
    <t>Operating_Margin_Pct</t>
  </si>
  <si>
    <t>Jan-2024</t>
  </si>
  <si>
    <t>Paid Ads</t>
  </si>
  <si>
    <t>Feb-2024</t>
  </si>
  <si>
    <t>Mar-2024</t>
  </si>
  <si>
    <t>Hybrid (Ads &amp; Organic)</t>
  </si>
  <si>
    <t>Apr-2024</t>
  </si>
  <si>
    <t>WhatsApp &amp; DMs</t>
  </si>
  <si>
    <t>May-2024</t>
  </si>
  <si>
    <t>Jun-2024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</si>
</sst>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₹&quot;#,##0"/>
    <numFmt numFmtId="165" formatCode="0.0%"/>
  </numFmts>
  <fonts count="9">
    <font>
      <sz val="11.0"/>
      <color/>
      <name val="Arial"/>
      <scheme val="minor"/>
    </font>
    <font>
      <b/>
      <sz val="16.0"/>
      <color rgb="FF0F172A"/>
      <name val="Quattrocento Sans"/>
    </font>
    <font>
      <i/>
      <sz val="11.0"/>
      <color rgb="FF475569"/>
      <name val="Quattrocento Sans"/>
    </font>
    <font>
      <b/>
      <sz val="9.0"/>
      <color rgb="FF64748B"/>
      <name val="Quattrocento Sans"/>
    </font>
    <font/>
    <font>
      <b/>
      <sz val="20.0"/>
      <color rgb="FF059669"/>
      <name val="Quattrocento Sans"/>
    </font>
    <font>
      <b/>
      <sz val="20.0"/>
      <color rgb="FF0F172A"/>
      <name val="Quattrocento Sans"/>
    </font>
    <font>
      <b/>
      <sz val="11.0"/>
      <color rgb="FFFFFFFF"/>
      <name val="Quattrocento Sans"/>
    </font>
    <font>
      <sz val="10.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</fills>
  <borders count="9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2" fontId="5" numFmtId="164" xfId="0" applyAlignment="1" applyBorder="1" applyFont="1" applyNumberFormat="1">
      <alignment horizontal="center" vertical="center"/>
    </xf>
    <xf borderId="4" fillId="0" fontId="4" numFmtId="0" xfId="0" applyBorder="1" applyFont="1"/>
    <xf borderId="3" fillId="2" fontId="6" numFmtId="165" xfId="0" applyAlignment="1" applyBorder="1" applyFont="1" applyNumberFormat="1">
      <alignment horizontal="center" vertical="center"/>
    </xf>
    <xf borderId="3" fillId="2" fontId="6" numFmtId="3" xfId="0" applyAlignment="1" applyBorder="1" applyFont="1" applyNumberForma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3" fontId="7" numFmtId="0" xfId="0" applyAlignment="1" applyBorder="1" applyFill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left" vertical="center"/>
    </xf>
    <xf borderId="8" fillId="0" fontId="8" numFmtId="164" xfId="0" applyAlignment="1" applyBorder="1" applyFont="1" applyNumberFormat="1">
      <alignment horizontal="right" vertical="center"/>
    </xf>
    <xf borderId="8" fillId="0" fontId="8" numFmtId="3" xfId="0" applyAlignment="1" applyBorder="1" applyFont="1" applyNumberFormat="1">
      <alignment horizontal="right" vertical="center"/>
    </xf>
    <xf borderId="8" fillId="0" fontId="8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Operational Spend Reduction (INR)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Data!$E$1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Data!$A$2:$A$7</c:f>
            </c:strRef>
          </c:cat>
          <c:val>
            <c:numRef>
              <c:f>Data!$E$2:$E$7</c:f>
              <c:numCache/>
            </c:numRef>
          </c:val>
        </c:ser>
        <c:axId val="2088048040"/>
        <c:axId val="1328417514"/>
      </c:barChart>
      <c:catAx>
        <c:axId val="2088048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417514"/>
      </c:catAx>
      <c:valAx>
        <c:axId val="1328417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Spend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8048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Lead Generation Growth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Data!$A$2:$A$7</c:f>
            </c:strRef>
          </c:cat>
          <c:val>
            <c:numRef>
              <c:f>Data!$F$2:$F$7</c:f>
              <c:numCache/>
            </c:numRef>
          </c:val>
          <c:smooth val="0"/>
        </c:ser>
        <c:axId val="1837002165"/>
        <c:axId val="1653601140"/>
      </c:lineChart>
      <c:catAx>
        <c:axId val="1837002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601140"/>
      </c:catAx>
      <c:valAx>
        <c:axId val="1653601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Leads Captured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002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5753100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8</xdr:row>
      <xdr:rowOff>0</xdr:rowOff>
    </xdr:from>
    <xdr:ext cx="5753100" cy="43148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0"/>
    <col customWidth="1" min="2" max="2" width="15.0"/>
    <col customWidth="1" min="3" max="3" width="25.0"/>
    <col customWidth="1" min="4" max="4" width="15.0"/>
    <col customWidth="1" min="5" max="5" width="25.0"/>
    <col customWidth="1" min="6" max="6" width="15.0"/>
    <col customWidth="1" min="7" max="11" width="8.71"/>
  </cols>
  <sheetData>
    <row r="1" ht="24.75" customHeight="1">
      <c r="A1" s="1" t="s">
        <v>0</v>
      </c>
    </row>
    <row r="2">
      <c r="A2" s="2" t="s">
        <v>1</v>
      </c>
    </row>
    <row r="4">
      <c r="A4" s="3" t="s">
        <v>2</v>
      </c>
      <c r="B4" s="4"/>
      <c r="C4" s="3" t="s">
        <v>3</v>
      </c>
      <c r="D4" s="4"/>
      <c r="E4" s="3" t="s">
        <v>4</v>
      </c>
      <c r="F4" s="4"/>
    </row>
    <row r="5">
      <c r="A5" s="5" t="str">
        <f>Data!E2-Data!E7</f>
        <v>₹23,500</v>
      </c>
      <c r="B5" s="6"/>
      <c r="C5" s="7" t="str">
        <f>Data!G7</f>
        <v>48.0%</v>
      </c>
      <c r="D5" s="6"/>
      <c r="E5" s="8" t="str">
        <f>SUM(Data!F2:F7)</f>
        <v>955</v>
      </c>
      <c r="F5" s="6"/>
    </row>
    <row r="6">
      <c r="A6" s="9"/>
      <c r="B6" s="10"/>
      <c r="C6" s="9"/>
      <c r="D6" s="10"/>
      <c r="E6" s="9"/>
      <c r="F6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4:B4"/>
    <mergeCell ref="E4:F4"/>
    <mergeCell ref="A1:F1"/>
    <mergeCell ref="C5:D6"/>
    <mergeCell ref="A5:B6"/>
    <mergeCell ref="E5:F6"/>
    <mergeCell ref="C4:D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6.0"/>
    <col customWidth="1" min="3" max="3" width="23.0"/>
    <col customWidth="1" min="4" max="4" width="24.0"/>
    <col customWidth="1" min="5" max="5" width="18.0"/>
    <col customWidth="1" min="6" max="6" width="19.0"/>
    <col customWidth="1" min="7" max="7" width="24.0"/>
    <col customWidth="1" min="8" max="11" width="8.71"/>
  </cols>
  <sheetData>
    <row r="1" ht="24.0" customHeight="1">
      <c r="A1" s="11" t="s">
        <v>5</v>
      </c>
      <c r="B1" s="11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1" t="s">
        <v>11</v>
      </c>
    </row>
    <row r="2" ht="19.5" customHeight="1">
      <c r="A2" s="12" t="s">
        <v>12</v>
      </c>
      <c r="B2" s="13" t="s">
        <v>13</v>
      </c>
      <c r="C2" s="14">
        <v>15000.0</v>
      </c>
      <c r="D2" s="14">
        <v>8500.0</v>
      </c>
      <c r="E2" s="14" t="str">
        <f t="shared" ref="E2:E7" si="1">C2+D2</f>
        <v>₹23,500</v>
      </c>
      <c r="F2" s="15">
        <v>120.0</v>
      </c>
      <c r="G2" s="16">
        <v>0.12</v>
      </c>
    </row>
    <row r="3" ht="19.5" customHeight="1">
      <c r="A3" s="12" t="s">
        <v>14</v>
      </c>
      <c r="B3" s="13" t="s">
        <v>13</v>
      </c>
      <c r="C3" s="14">
        <v>17500.0</v>
      </c>
      <c r="D3" s="14">
        <v>8000.0</v>
      </c>
      <c r="E3" s="14" t="str">
        <f t="shared" si="1"/>
        <v>₹25,500</v>
      </c>
      <c r="F3" s="15">
        <v>140.0</v>
      </c>
      <c r="G3" s="16">
        <v>0.15</v>
      </c>
    </row>
    <row r="4" ht="19.5" customHeight="1">
      <c r="A4" s="12" t="s">
        <v>15</v>
      </c>
      <c r="B4" s="13" t="s">
        <v>16</v>
      </c>
      <c r="C4" s="14">
        <v>8000.0</v>
      </c>
      <c r="D4" s="14">
        <v>3500.0</v>
      </c>
      <c r="E4" s="14" t="str">
        <f t="shared" si="1"/>
        <v>₹11,500</v>
      </c>
      <c r="F4" s="15">
        <v>145.0</v>
      </c>
      <c r="G4" s="16">
        <v>0.26</v>
      </c>
    </row>
    <row r="5" ht="19.5" customHeight="1">
      <c r="A5" s="12" t="s">
        <v>17</v>
      </c>
      <c r="B5" s="13" t="s">
        <v>18</v>
      </c>
      <c r="C5" s="14">
        <v>0.0</v>
      </c>
      <c r="D5" s="14">
        <v>0.0</v>
      </c>
      <c r="E5" s="14" t="str">
        <f t="shared" si="1"/>
        <v>₹0</v>
      </c>
      <c r="F5" s="15">
        <v>160.0</v>
      </c>
      <c r="G5" s="16">
        <v>0.38</v>
      </c>
    </row>
    <row r="6" ht="19.5" customHeight="1">
      <c r="A6" s="12" t="s">
        <v>19</v>
      </c>
      <c r="B6" s="13" t="s">
        <v>18</v>
      </c>
      <c r="C6" s="14">
        <v>0.0</v>
      </c>
      <c r="D6" s="14">
        <v>0.0</v>
      </c>
      <c r="E6" s="14" t="str">
        <f t="shared" si="1"/>
        <v>₹0</v>
      </c>
      <c r="F6" s="15">
        <v>185.0</v>
      </c>
      <c r="G6" s="16">
        <v>0.45</v>
      </c>
    </row>
    <row r="7" ht="19.5" customHeight="1">
      <c r="A7" s="12" t="s">
        <v>20</v>
      </c>
      <c r="B7" s="13" t="s">
        <v>18</v>
      </c>
      <c r="C7" s="14">
        <v>0.0</v>
      </c>
      <c r="D7" s="14">
        <v>0.0</v>
      </c>
      <c r="E7" s="14" t="str">
        <f t="shared" si="1"/>
        <v>₹0</v>
      </c>
      <c r="F7" s="15">
        <v>205.0</v>
      </c>
      <c r="G7" s="16">
        <v>0.48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2026-07-21T17:26:43Z</dcterms:created>
  <dc:creator>openpyxl</dc:creator>
  <dcterms:modified xsi:type="dcterms:W3CDTF">2026-07-21T17:26:43Z</dcterms:modified>
</cp:coreProperties>
</file>